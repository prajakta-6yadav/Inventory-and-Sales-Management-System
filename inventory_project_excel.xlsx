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049C09-CDEB-45E0-9D32-E9CFD5C87FCD}" xr6:coauthVersionLast="47" xr6:coauthVersionMax="47" xr10:uidLastSave="{00000000-0000-0000-0000-000000000000}"/>
  <bookViews>
    <workbookView xWindow="-108" yWindow="-108" windowWidth="23256" windowHeight="12456" xr2:uid="{F5691644-6014-4FB9-A0AC-055E5AF7AFB3}"/>
  </bookViews>
  <sheets>
    <sheet name="Dashboard" sheetId="1" r:id="rId1"/>
    <sheet name="City wise Sales value" sheetId="17" r:id="rId2"/>
    <sheet name="category_wise_revenue" sheetId="15" r:id="rId3"/>
    <sheet name="No_of_Customers" sheetId="10" r:id="rId4"/>
    <sheet name="Total_stock" sheetId="8" r:id="rId5"/>
    <sheet name="orders" sheetId="7" r:id="rId6"/>
    <sheet name="low_stock_data" sheetId="4" r:id="rId7"/>
    <sheet name="count_product" sheetId="6" r:id="rId8"/>
    <sheet name="count_stock_Quantity" sheetId="5" r:id="rId9"/>
    <sheet name="Top selling_product" sheetId="3" r:id="rId10"/>
    <sheet name="Top_10_product_by _sales" sheetId="2" r:id="rId11"/>
  </sheets>
  <definedNames>
    <definedName name="ExternalData_1" localSheetId="7" hidden="1">count_product!$A$1:$A$2</definedName>
    <definedName name="ExternalData_1" localSheetId="6" hidden="1">low_stock_data!$A$1:$B$13</definedName>
    <definedName name="ExternalData_1" localSheetId="10" hidden="1">'Top_10_product_by _sales'!$A$1:$B$11</definedName>
    <definedName name="ExternalData_2" localSheetId="5" hidden="1">orders!$A$1:$A$2</definedName>
    <definedName name="ExternalData_3" localSheetId="4" hidden="1">Total_stock!$A$1:$A$2</definedName>
    <definedName name="ExternalData_4" localSheetId="3" hidden="1">No_of_Customers!$A$1:$A$2</definedName>
    <definedName name="ExternalData_5" localSheetId="2" hidden="1">category_wise_revenue!$A$1:$B$5</definedName>
    <definedName name="ExternalData_6" localSheetId="1" hidden="1">'City wise Sales value'!$A$1:$B$6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0" l="1" a="1"/>
  <c r="A4" i="10" s="1"/>
  <c r="A5" i="8" a="1"/>
  <c r="A5" i="8" s="1"/>
  <c r="A5" i="7" a="1"/>
  <c r="A5" i="7" s="1"/>
  <c r="A4" i="6" a="1"/>
  <c r="A4" i="6" s="1"/>
  <c r="B1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90CF3-EE26-400B-AEBA-46668EA2602A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AB48E3FB-ED2D-449F-8158-4C9982253D7E}" keepAlive="1" name="Query - Query10" description="Connection to the 'Query10' query in the workbook." type="5" refreshedVersion="8" background="1" saveData="1">
    <dbPr connection="Provider=Microsoft.Mashup.OleDb.1;Data Source=$Workbook$;Location=Query10;Extended Properties=&quot;&quot;" command="SELECT * FROM [Query10]"/>
  </connection>
  <connection id="3" xr16:uid="{8D3FCE4F-88F8-4146-98A5-2C8FE3BB5F22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4" xr16:uid="{AFB3BC3F-A12F-48EE-B31F-C56F7AE4C538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5" xr16:uid="{35D7F20D-E4C8-4DE0-BC1A-5B2475FA7288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6" xr16:uid="{C9AE5B79-FB65-4ADF-B4B2-ED526BC78DA8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  <connection id="7" xr16:uid="{7816BB59-A1EB-4989-95A5-49F7C543CCFA}" keepAlive="1" name="Query - Query6" description="Connection to the 'Query6' query in the workbook." type="5" refreshedVersion="8" background="1" saveData="1">
    <dbPr connection="Provider=Microsoft.Mashup.OleDb.1;Data Source=$Workbook$;Location=Query6;Extended Properties=&quot;&quot;" command="SELECT * FROM [Query6]"/>
  </connection>
  <connection id="8" xr16:uid="{748BA3DD-1982-4D2F-8637-A18399D59C7F}" keepAlive="1" name="Query - Query7" description="Connection to the 'Query7' query in the workbook." type="5" refreshedVersion="0" background="1">
    <dbPr connection="Provider=Microsoft.Mashup.OleDb.1;Data Source=$Workbook$;Location=Query7;Extended Properties=&quot;&quot;" command="SELECT * FROM [Query7]"/>
  </connection>
  <connection id="9" xr16:uid="{A99A70B8-E8F5-4370-9B83-5DB9A7A86B84}" keepAlive="1" name="Query - Query8" description="Connection to the 'Query8' query in the workbook." type="5" refreshedVersion="0" background="1">
    <dbPr connection="Provider=Microsoft.Mashup.OleDb.1;Data Source=$Workbook$;Location=Query8;Extended Properties=&quot;&quot;" command="SELECT * FROM [Query8]"/>
  </connection>
  <connection id="10" xr16:uid="{DC923CA1-2838-4B78-A06C-C278ADDF208A}" keepAlive="1" name="Query - Query9" description="Connection to the 'Query9' query in the workbook." type="5" refreshedVersion="8" background="1" saveData="1">
    <dbPr connection="Provider=Microsoft.Mashup.OleDb.1;Data Source=$Workbook$;Location=Query9;Extended Properties=&quot;&quot;" command="SELECT * FROM [Query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<sst xmlns="http://schemas.openxmlformats.org/spreadsheetml/2006/main" count="71" uniqueCount="46">
  <si>
    <t>ProductName</t>
  </si>
  <si>
    <t>TotalSold</t>
  </si>
  <si>
    <t>Saree 7</t>
  </si>
  <si>
    <t>Bookshelf 6</t>
  </si>
  <si>
    <t>Eggs 38</t>
  </si>
  <si>
    <t>Monitor 17</t>
  </si>
  <si>
    <t>Study Table 12</t>
  </si>
  <si>
    <t>Jacket 43</t>
  </si>
  <si>
    <t>Saree 27</t>
  </si>
  <si>
    <t>Cupboard 25</t>
  </si>
  <si>
    <t>Kurti 25</t>
  </si>
  <si>
    <t>Headphones 46</t>
  </si>
  <si>
    <t>Row Labels</t>
  </si>
  <si>
    <t>Grand Total</t>
  </si>
  <si>
    <t>Sum of TotalSold</t>
  </si>
  <si>
    <t>StockQuantity</t>
  </si>
  <si>
    <t>Oil 27</t>
  </si>
  <si>
    <t>Office Chair 11</t>
  </si>
  <si>
    <t>Mouse 39</t>
  </si>
  <si>
    <t>Salt 30</t>
  </si>
  <si>
    <t>Mouse 29</t>
  </si>
  <si>
    <t>Sugar 44</t>
  </si>
  <si>
    <t>Wheat Flour 42</t>
  </si>
  <si>
    <t>Salt 40</t>
  </si>
  <si>
    <t>Hoodie 8</t>
  </si>
  <si>
    <t>Hoodie 18</t>
  </si>
  <si>
    <t>Eggs 8</t>
  </si>
  <si>
    <t>Tea 35</t>
  </si>
  <si>
    <t>Count of StockQuantity</t>
  </si>
  <si>
    <t>count(ProductName)</t>
  </si>
  <si>
    <t>sum(Quantity)</t>
  </si>
  <si>
    <t>sum(StockQuantity)</t>
  </si>
  <si>
    <t>count(customerName)</t>
  </si>
  <si>
    <t>Category</t>
  </si>
  <si>
    <t>sum(UnitPrice)</t>
  </si>
  <si>
    <t>Electronics</t>
  </si>
  <si>
    <t>Clothing</t>
  </si>
  <si>
    <t>Furniture</t>
  </si>
  <si>
    <t>Groceries</t>
  </si>
  <si>
    <t>City</t>
  </si>
  <si>
    <t>TotalSalesValue</t>
  </si>
  <si>
    <t>Delhi</t>
  </si>
  <si>
    <t>Pune</t>
  </si>
  <si>
    <t>Hyderabad</t>
  </si>
  <si>
    <t>Mumbai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</si>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</sst>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[inventory_project_excel.xlsx]Top selling_product!PivotTable1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cap="sq"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cap="sq"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cap="sq"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767706593494"/>
          <c:y val="6.8815904590873528E-2"/>
          <c:w val="0.71813633381054642"/>
          <c:h val="0.816803195653174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selling_product'!$B$3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sq"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selling_product'!$A$4:$A$14</c:f>
              <c:strCache>
                <c:ptCount val="10"/>
                <c:pt idx="0">
                  <c:v>Bookshelf 6</c:v>
                </c:pt>
                <c:pt idx="1">
                  <c:v>Cupboard 25</c:v>
                </c:pt>
                <c:pt idx="2">
                  <c:v>Eggs 38</c:v>
                </c:pt>
                <c:pt idx="3">
                  <c:v>Headphones 46</c:v>
                </c:pt>
                <c:pt idx="4">
                  <c:v>Jacket 43</c:v>
                </c:pt>
                <c:pt idx="5">
                  <c:v>Kurti 25</c:v>
                </c:pt>
                <c:pt idx="6">
                  <c:v>Monitor 17</c:v>
                </c:pt>
                <c:pt idx="7">
                  <c:v>Saree 27</c:v>
                </c:pt>
                <c:pt idx="8">
                  <c:v>Saree 7</c:v>
                </c:pt>
                <c:pt idx="9">
                  <c:v>Study Table 12</c:v>
                </c:pt>
              </c:strCache>
            </c:strRef>
          </c:cat>
          <c:val>
            <c:numRef>
              <c:f>'Top selling_product'!$B$4:$B$14</c:f>
              <c:numCache>
                <c:formatCode>General</c:formatCode>
                <c:ptCount val="10"/>
                <c:pt idx="0">
                  <c:v>671</c:v>
                </c:pt>
                <c:pt idx="1">
                  <c:v>632</c:v>
                </c:pt>
                <c:pt idx="2">
                  <c:v>659</c:v>
                </c:pt>
                <c:pt idx="3">
                  <c:v>628</c:v>
                </c:pt>
                <c:pt idx="4">
                  <c:v>634</c:v>
                </c:pt>
                <c:pt idx="5">
                  <c:v>628</c:v>
                </c:pt>
                <c:pt idx="6">
                  <c:v>650</c:v>
                </c:pt>
                <c:pt idx="7">
                  <c:v>632</c:v>
                </c:pt>
                <c:pt idx="8">
                  <c:v>747</c:v>
                </c:pt>
                <c:pt idx="9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B-4A5D-8397-7F660EAD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9653712"/>
        <c:axId val="1689660432"/>
      </c:barChart>
      <c:catAx>
        <c:axId val="168965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0432"/>
        <c:crosses val="autoZero"/>
        <c:auto val="1"/>
        <c:lblAlgn val="ctr"/>
        <c:lblOffset val="100"/>
        <c:noMultiLvlLbl val="0"/>
      </c:catAx>
      <c:valAx>
        <c:axId val="168966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95000"/>
                    <a:lumOff val="5000"/>
                  </a:schemeClr>
                </a:solidFill>
              </a:rPr>
              <a:t>Category wise revenue</a:t>
            </a:r>
          </a:p>
        </c:rich>
      </c:tx>
      <c:layout>
        <c:manualLayout>
          <c:xMode val="edge"/>
          <c:yMode val="edge"/>
          <c:x val="0.317958223972003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category_wise_revenue!$B$1</c:f>
              <c:strCache>
                <c:ptCount val="1"/>
                <c:pt idx="0">
                  <c:v>sum(UnitPrice)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category_wise_revenue!$A$2:$A$5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Groceries</c:v>
                </c:pt>
              </c:strCache>
            </c:strRef>
          </c:cat>
          <c:val>
            <c:numRef>
              <c:f>category_wise_revenue!$B$2:$B$5</c:f>
              <c:numCache>
                <c:formatCode>General</c:formatCode>
                <c:ptCount val="4"/>
                <c:pt idx="0">
                  <c:v>118978</c:v>
                </c:pt>
                <c:pt idx="1">
                  <c:v>125195</c:v>
                </c:pt>
                <c:pt idx="2">
                  <c:v>127083</c:v>
                </c:pt>
                <c:pt idx="3">
                  <c:v>139652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9-4109-ABD0-2FF94180E3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222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dropLines>
        <c:smooth val="0"/>
        <c:axId val="1233783760"/>
        <c:axId val="1233759760"/>
      </c:lineChart>
      <c:catAx>
        <c:axId val="12337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59760"/>
        <c:crosses val="autoZero"/>
        <c:auto val="1"/>
        <c:lblAlgn val="ctr"/>
        <c:lblOffset val="100"/>
        <c:noMultiLvlLbl val="0"/>
      </c:catAx>
      <c:valAx>
        <c:axId val="1233759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378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City</a:t>
            </a:r>
            <a:r>
              <a:rPr lang="en-US" baseline="0">
                <a:solidFill>
                  <a:schemeClr val="tx1"/>
                </a:solidFill>
              </a:rPr>
              <a:t> wise Sales Value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Sales value'!$B$1</c:f>
              <c:strCache>
                <c:ptCount val="1"/>
                <c:pt idx="0">
                  <c:v>TotalSalesValue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0.150177035640630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F2-4C9F-8E3E-97987031D8F0}"/>
                </c:ext>
              </c:extLst>
            </c:dLbl>
            <c:dLbl>
              <c:idx val="3"/>
              <c:layout>
                <c:manualLayout>
                  <c:x val="0"/>
                  <c:y val="0.152221279620365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F2-4C9F-8E3E-97987031D8F0}"/>
                </c:ext>
              </c:extLst>
            </c:dLbl>
            <c:dLbl>
              <c:idx val="4"/>
              <c:layout>
                <c:manualLayout>
                  <c:x val="-2.8799028361601656E-3"/>
                  <c:y val="9.39559204996649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F2-4C9F-8E3E-97987031D8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27432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wise Sales value'!$A$2:$A$6</c:f>
              <c:strCache>
                <c:ptCount val="5"/>
                <c:pt idx="0">
                  <c:v>Delhi</c:v>
                </c:pt>
                <c:pt idx="1">
                  <c:v>Pune</c:v>
                </c:pt>
                <c:pt idx="2">
                  <c:v>Hyderabad</c:v>
                </c:pt>
                <c:pt idx="3">
                  <c:v>Mumbai</c:v>
                </c:pt>
                <c:pt idx="4">
                  <c:v>Bangalore</c:v>
                </c:pt>
              </c:strCache>
            </c:strRef>
          </c:cat>
          <c:val>
            <c:numRef>
              <c:f>'City wise Sales value'!$B$2:$B$6</c:f>
              <c:numCache>
                <c:formatCode>General</c:formatCode>
                <c:ptCount val="5"/>
                <c:pt idx="0">
                  <c:v>49231068</c:v>
                </c:pt>
                <c:pt idx="1">
                  <c:v>49457467</c:v>
                </c:pt>
                <c:pt idx="2">
                  <c:v>50136351</c:v>
                </c:pt>
                <c:pt idx="3">
                  <c:v>52171444</c:v>
                </c:pt>
                <c:pt idx="4">
                  <c:v>54595657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2-4C9F-8E3E-97987031D8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3900272"/>
        <c:axId val="1243905552"/>
      </c:barChart>
      <c:catAx>
        <c:axId val="12439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05552"/>
        <c:crosses val="autoZero"/>
        <c:auto val="1"/>
        <c:lblAlgn val="ctr"/>
        <c:lblOffset val="100"/>
        <c:noMultiLvlLbl val="0"/>
      </c:catAx>
      <c:valAx>
        <c:axId val="12439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wise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Sales value'!$B$1</c:f>
              <c:strCache>
                <c:ptCount val="1"/>
                <c:pt idx="0">
                  <c:v>TotalSalesValue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wise Sales value'!$A$2:$A$6</c:f>
              <c:strCache>
                <c:ptCount val="5"/>
                <c:pt idx="0">
                  <c:v>Delhi</c:v>
                </c:pt>
                <c:pt idx="1">
                  <c:v>Pune</c:v>
                </c:pt>
                <c:pt idx="2">
                  <c:v>Hyderabad</c:v>
                </c:pt>
                <c:pt idx="3">
                  <c:v>Mumbai</c:v>
                </c:pt>
                <c:pt idx="4">
                  <c:v>Bangalore</c:v>
                </c:pt>
              </c:strCache>
            </c:strRef>
          </c:cat>
          <c:val>
            <c:numRef>
              <c:f>'City wise Sales value'!$B$2:$B$6</c:f>
              <c:numCache>
                <c:formatCode>General</c:formatCode>
                <c:ptCount val="5"/>
                <c:pt idx="0">
                  <c:v>49231068</c:v>
                </c:pt>
                <c:pt idx="1">
                  <c:v>49457467</c:v>
                </c:pt>
                <c:pt idx="2">
                  <c:v>50136351</c:v>
                </c:pt>
                <c:pt idx="3">
                  <c:v>52171444</c:v>
                </c:pt>
                <c:pt idx="4">
                  <c:v>54595657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4-4D57-8B9E-26231AB497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43900272"/>
        <c:axId val="1243905552"/>
      </c:barChart>
      <c:catAx>
        <c:axId val="12439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05552"/>
        <c:crosses val="autoZero"/>
        <c:auto val="1"/>
        <c:lblAlgn val="ctr"/>
        <c:lblOffset val="100"/>
        <c:noMultiLvlLbl val="0"/>
      </c:catAx>
      <c:valAx>
        <c:axId val="12439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9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revenue</a:t>
            </a:r>
          </a:p>
        </c:rich>
      </c:tx>
      <c:layout>
        <c:manualLayout>
          <c:xMode val="edge"/>
          <c:yMode val="edge"/>
          <c:x val="0.317958223972003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category_wise_revenue!$B$1</c:f>
              <c:strCache>
                <c:ptCount val="1"/>
                <c:pt idx="0">
                  <c:v>sum(UnitPrice)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category_wise_revenue!$A$2:$A$5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Groceries</c:v>
                </c:pt>
              </c:strCache>
            </c:strRef>
          </c:cat>
          <c:val>
            <c:numRef>
              <c:f>category_wise_revenue!$B$2:$B$5</c:f>
              <c:numCache>
                <c:formatCode>General</c:formatCode>
                <c:ptCount val="4"/>
                <c:pt idx="0">
                  <c:v>118978</c:v>
                </c:pt>
                <c:pt idx="1">
                  <c:v>125195</c:v>
                </c:pt>
                <c:pt idx="2">
                  <c:v>127083</c:v>
                </c:pt>
                <c:pt idx="3">
                  <c:v>139652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F-42F8-81A6-FD1737E925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33783760"/>
        <c:axId val="1233759760"/>
      </c:lineChart>
      <c:catAx>
        <c:axId val="12337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59760"/>
        <c:crosses val="autoZero"/>
        <c:auto val="1"/>
        <c:lblAlgn val="ctr"/>
        <c:lblOffset val="100"/>
        <c:noMultiLvlLbl val="0"/>
      </c:catAx>
      <c:valAx>
        <c:axId val="1233759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378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500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[inventory_project_excel.xlsx]Top selling_product!PivotTable1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cap="sq">
            <a:solidFill>
              <a:schemeClr val="accent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selling_product'!$B$3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sq"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selling_product'!$A$4:$A$14</c:f>
              <c:strCache>
                <c:ptCount val="10"/>
                <c:pt idx="0">
                  <c:v>Bookshelf 6</c:v>
                </c:pt>
                <c:pt idx="1">
                  <c:v>Cupboard 25</c:v>
                </c:pt>
                <c:pt idx="2">
                  <c:v>Eggs 38</c:v>
                </c:pt>
                <c:pt idx="3">
                  <c:v>Headphones 46</c:v>
                </c:pt>
                <c:pt idx="4">
                  <c:v>Jacket 43</c:v>
                </c:pt>
                <c:pt idx="5">
                  <c:v>Kurti 25</c:v>
                </c:pt>
                <c:pt idx="6">
                  <c:v>Monitor 17</c:v>
                </c:pt>
                <c:pt idx="7">
                  <c:v>Saree 27</c:v>
                </c:pt>
                <c:pt idx="8">
                  <c:v>Saree 7</c:v>
                </c:pt>
                <c:pt idx="9">
                  <c:v>Study Table 12</c:v>
                </c:pt>
              </c:strCache>
            </c:strRef>
          </c:cat>
          <c:val>
            <c:numRef>
              <c:f>'Top selling_product'!$B$4:$B$14</c:f>
              <c:numCache>
                <c:formatCode>General</c:formatCode>
                <c:ptCount val="10"/>
                <c:pt idx="0">
                  <c:v>671</c:v>
                </c:pt>
                <c:pt idx="1">
                  <c:v>632</c:v>
                </c:pt>
                <c:pt idx="2">
                  <c:v>659</c:v>
                </c:pt>
                <c:pt idx="3">
                  <c:v>628</c:v>
                </c:pt>
                <c:pt idx="4">
                  <c:v>634</c:v>
                </c:pt>
                <c:pt idx="5">
                  <c:v>628</c:v>
                </c:pt>
                <c:pt idx="6">
                  <c:v>650</c:v>
                </c:pt>
                <c:pt idx="7">
                  <c:v>632</c:v>
                </c:pt>
                <c:pt idx="8">
                  <c:v>747</c:v>
                </c:pt>
                <c:pt idx="9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7-4990-9BD0-29CC03D01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89653712"/>
        <c:axId val="1689660432"/>
      </c:barChart>
      <c:catAx>
        <c:axId val="168965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60432"/>
        <c:crosses val="autoZero"/>
        <c:auto val="1"/>
        <c:lblAlgn val="ctr"/>
        <c:lblOffset val="100"/>
        <c:noMultiLvlLbl val="0"/>
      </c:catAx>
      <c:valAx>
        <c:axId val="168966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3.xml"/><Relationship Id="rId3" Type="http://schemas.openxmlformats.org/officeDocument/2006/relationships/hyperlink" Target="https://www.wix.com/app-market/low-stock-alerts" TargetMode="External"/><Relationship Id="rId7" Type="http://schemas.openxmlformats.org/officeDocument/2006/relationships/hyperlink" Target="https://icon-library.com/icon/order-icon-png-13.html" TargetMode="External"/><Relationship Id="rId12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hyperlink" Target="https://www.vecteezy.com/png/21079672-user-account-icon-for-your-design-only" TargetMode="External"/><Relationship Id="rId5" Type="http://schemas.openxmlformats.org/officeDocument/2006/relationships/hyperlink" Target="https://www.iconfinder.com/icons/3702136/new_design_new_product_product_design_product_development_product_launch_icon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www.vecteezy.com/png/13743327-bar-graph-growth-and-up-arrow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20</xdr:col>
      <xdr:colOff>7620</xdr:colOff>
      <xdr:row>6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284A82-293B-AF34-2732-703EE318CF91}"/>
            </a:ext>
          </a:extLst>
        </xdr:cNvPr>
        <xdr:cNvSpPr/>
      </xdr:nvSpPr>
      <xdr:spPr>
        <a:xfrm>
          <a:off x="1828800" y="190500"/>
          <a:ext cx="10370820" cy="9144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594360</xdr:colOff>
      <xdr:row>1</xdr:row>
      <xdr:rowOff>160019</xdr:rowOff>
    </xdr:from>
    <xdr:to>
      <xdr:col>19</xdr:col>
      <xdr:colOff>10212</xdr:colOff>
      <xdr:row>5</xdr:row>
      <xdr:rowOff>60961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0A8EA55-0E43-1A65-D149-9E4A162DB60D}"/>
            </a:ext>
          </a:extLst>
        </xdr:cNvPr>
        <xdr:cNvGrpSpPr/>
      </xdr:nvGrpSpPr>
      <xdr:grpSpPr>
        <a:xfrm>
          <a:off x="2418764" y="343192"/>
          <a:ext cx="9146006" cy="633634"/>
          <a:chOff x="2438400" y="1630679"/>
          <a:chExt cx="9167875" cy="632462"/>
        </a:xfrm>
      </xdr:grpSpPr>
      <xdr:sp macro="" textlink="count_product!A4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1A6C216-3A43-B48A-3FE0-E1FA3A0B1F4A}"/>
              </a:ext>
            </a:extLst>
          </xdr:cNvPr>
          <xdr:cNvSpPr/>
        </xdr:nvSpPr>
        <xdr:spPr>
          <a:xfrm>
            <a:off x="2438400" y="1630679"/>
            <a:ext cx="1821180" cy="63246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fld id="{E6E946CD-0424-46AD-8D91-D01292E1AC87}" type="TxLink">
              <a:rPr lang="en-US" sz="1800" b="0" i="0" u="none" strike="noStrike">
                <a:solidFill>
                  <a:srgbClr val="000000"/>
                </a:solidFill>
                <a:latin typeface="Aptos Narrow"/>
              </a:rPr>
              <a:pPr algn="r"/>
              <a:t>200</a:t>
            </a:fld>
            <a:endParaRPr lang="en-IN" sz="1800"/>
          </a:p>
        </xdr:txBody>
      </xdr:sp>
      <xdr:sp macro="" textlink="orders!A5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9FF3C979-555F-481B-85A7-DE7A37EAF2DC}"/>
              </a:ext>
            </a:extLst>
          </xdr:cNvPr>
          <xdr:cNvSpPr/>
        </xdr:nvSpPr>
        <xdr:spPr>
          <a:xfrm>
            <a:off x="4881880" y="1630680"/>
            <a:ext cx="1821180" cy="63246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fld id="{6EFB3BCE-27CC-46E8-92F3-B61C3E2AA711}" type="TxLink">
              <a:rPr lang="en-US" sz="1800" b="0" i="0" u="none" strike="noStrike">
                <a:solidFill>
                  <a:srgbClr val="000000"/>
                </a:solidFill>
                <a:latin typeface="Aptos Narrow"/>
              </a:rPr>
              <a:pPr algn="r"/>
              <a:t>100477</a:t>
            </a:fld>
            <a:endParaRPr lang="en-IN" sz="1800"/>
          </a:p>
        </xdr:txBody>
      </xdr:sp>
      <xdr:sp macro="" textlink="Total_stock!A5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7E25DA40-674F-472B-B639-70CCC87E0CBE}"/>
              </a:ext>
            </a:extLst>
          </xdr:cNvPr>
          <xdr:cNvSpPr/>
        </xdr:nvSpPr>
        <xdr:spPr>
          <a:xfrm>
            <a:off x="7325360" y="1630680"/>
            <a:ext cx="1821180" cy="63246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fld id="{3E456A4A-3F80-4A99-83DC-F96639D8624F}" type="TxLink">
              <a:rPr lang="en-US" sz="1800" b="0" i="0" u="none" strike="noStrike">
                <a:solidFill>
                  <a:srgbClr val="000000"/>
                </a:solidFill>
                <a:latin typeface="Aptos Narrow"/>
              </a:rPr>
              <a:pPr algn="r"/>
              <a:t>197751</a:t>
            </a:fld>
            <a:endParaRPr lang="en-IN" sz="1800"/>
          </a:p>
        </xdr:txBody>
      </xdr:sp>
      <xdr:sp macro="" textlink="count_stock_Quantity!B18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E32B053-BA5A-4929-8E9A-4B951EEBE5FE}"/>
              </a:ext>
            </a:extLst>
          </xdr:cNvPr>
          <xdr:cNvSpPr/>
        </xdr:nvSpPr>
        <xdr:spPr>
          <a:xfrm>
            <a:off x="9785096" y="1630681"/>
            <a:ext cx="1821179" cy="63246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US" sz="1800" b="0" i="0" u="none" strike="noStrike" baseline="0">
                <a:solidFill>
                  <a:srgbClr val="000000"/>
                </a:solidFill>
                <a:latin typeface="Aptos Narrow"/>
              </a:rPr>
              <a:t>         </a:t>
            </a:r>
            <a:fld id="{502DE628-606E-4C5C-B10C-E6C02BA00157}" type="TxLink">
              <a:rPr lang="en-US" sz="1800" b="0" i="0" u="none" strike="noStrike" baseline="0">
                <a:solidFill>
                  <a:srgbClr val="000000"/>
                </a:solidFill>
                <a:latin typeface="Aptos Narrow"/>
              </a:rPr>
              <a:pPr algn="r"/>
              <a:t>12</a:t>
            </a:fld>
            <a:endParaRPr lang="en-IN" sz="1800"/>
          </a:p>
        </xdr:txBody>
      </xdr:sp>
    </xdr:grpSp>
    <xdr:clientData/>
  </xdr:twoCellAnchor>
  <xdr:twoCellAnchor>
    <xdr:from>
      <xdr:col>3</xdr:col>
      <xdr:colOff>15240</xdr:colOff>
      <xdr:row>8</xdr:row>
      <xdr:rowOff>11430</xdr:rowOff>
    </xdr:from>
    <xdr:to>
      <xdr:col>19</xdr:col>
      <xdr:colOff>594360</xdr:colOff>
      <xdr:row>33</xdr:row>
      <xdr:rowOff>7620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1C7E89-FA11-9EC2-C556-16D2110EDDFE}"/>
            </a:ext>
          </a:extLst>
        </xdr:cNvPr>
        <xdr:cNvGrpSpPr/>
      </xdr:nvGrpSpPr>
      <xdr:grpSpPr>
        <a:xfrm>
          <a:off x="1839644" y="1476815"/>
          <a:ext cx="10309274" cy="4575517"/>
          <a:chOff x="1844040" y="1657350"/>
          <a:chExt cx="10332720" cy="4568190"/>
        </a:xfrm>
      </xdr:grpSpPr>
      <xdr:sp macro="" textlink="No_of_Customers!A4">
        <xdr:nvSpPr>
          <xdr:cNvPr id="9" name="Rectangle 8">
            <a:extLst>
              <a:ext uri="{FF2B5EF4-FFF2-40B4-BE49-F238E27FC236}">
                <a16:creationId xmlns:a16="http://schemas.microsoft.com/office/drawing/2014/main" id="{8EB737BD-E7A6-81A1-8370-492091317CC6}"/>
              </a:ext>
            </a:extLst>
          </xdr:cNvPr>
          <xdr:cNvSpPr/>
        </xdr:nvSpPr>
        <xdr:spPr>
          <a:xfrm>
            <a:off x="1844040" y="1657350"/>
            <a:ext cx="1973580" cy="198882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en-US" sz="1800" b="0" i="0" u="none" strike="noStrike">
              <a:solidFill>
                <a:srgbClr val="000000"/>
              </a:solidFill>
              <a:latin typeface="Aptos Narrow"/>
            </a:endParaRPr>
          </a:p>
          <a:p>
            <a:pPr algn="ctr"/>
            <a:endParaRPr lang="en-US" sz="1800" b="0" i="0" u="none" strike="noStrike">
              <a:solidFill>
                <a:srgbClr val="000000"/>
              </a:solidFill>
              <a:latin typeface="Aptos Narrow"/>
            </a:endParaRPr>
          </a:p>
          <a:p>
            <a:pPr algn="ctr"/>
            <a:fld id="{451376D1-7182-4A6E-A730-EA14675C60F6}" type="TxLink">
              <a:rPr lang="en-US" sz="1800" b="0" i="0" u="none" strike="noStrike">
                <a:solidFill>
                  <a:srgbClr val="000000"/>
                </a:solidFill>
                <a:latin typeface="Aptos Narrow"/>
              </a:rPr>
              <a:pPr algn="ctr"/>
              <a:t>500</a:t>
            </a:fld>
            <a:endParaRPr lang="en-IN" sz="18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DCDE0087-4D70-4EC9-851D-2855D1199DB8}"/>
              </a:ext>
            </a:extLst>
          </xdr:cNvPr>
          <xdr:cNvSpPr/>
        </xdr:nvSpPr>
        <xdr:spPr>
          <a:xfrm>
            <a:off x="4370070" y="1657350"/>
            <a:ext cx="4434840" cy="201168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140D699-CEE2-4F54-8B4C-948F80DB33B3}"/>
              </a:ext>
            </a:extLst>
          </xdr:cNvPr>
          <xdr:cNvSpPr/>
        </xdr:nvSpPr>
        <xdr:spPr>
          <a:xfrm>
            <a:off x="9357360" y="1657350"/>
            <a:ext cx="2819400" cy="456819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13294</xdr:colOff>
      <xdr:row>21</xdr:row>
      <xdr:rowOff>15240</xdr:rowOff>
    </xdr:from>
    <xdr:to>
      <xdr:col>14</xdr:col>
      <xdr:colOff>310474</xdr:colOff>
      <xdr:row>32</xdr:row>
      <xdr:rowOff>167640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940734B-9C1C-450A-A389-A9339B15FB40}"/>
            </a:ext>
          </a:extLst>
        </xdr:cNvPr>
        <xdr:cNvSpPr/>
      </xdr:nvSpPr>
      <xdr:spPr>
        <a:xfrm>
          <a:off x="1837230" y="3930623"/>
          <a:ext cx="6984946" cy="220331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221468</xdr:colOff>
      <xdr:row>8</xdr:row>
      <xdr:rowOff>16214</xdr:rowOff>
    </xdr:from>
    <xdr:to>
      <xdr:col>19</xdr:col>
      <xdr:colOff>583661</xdr:colOff>
      <xdr:row>32</xdr:row>
      <xdr:rowOff>162128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9DCFFA-D65C-4A39-8ED4-AA0DB5774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32424</xdr:colOff>
      <xdr:row>1</xdr:row>
      <xdr:rowOff>145917</xdr:rowOff>
    </xdr:from>
    <xdr:to>
      <xdr:col>16</xdr:col>
      <xdr:colOff>583659</xdr:colOff>
      <xdr:row>5</xdr:row>
      <xdr:rowOff>16216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33A950-B074-5D3F-5250-C2382F91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9760084" y="332364"/>
          <a:ext cx="551235" cy="616086"/>
        </a:xfrm>
        <a:prstGeom prst="rect">
          <a:avLst/>
        </a:prstGeom>
      </xdr:spPr>
    </xdr:pic>
    <xdr:clientData/>
  </xdr:twoCellAnchor>
  <xdr:oneCellAnchor>
    <xdr:from>
      <xdr:col>16</xdr:col>
      <xdr:colOff>535022</xdr:colOff>
      <xdr:row>3</xdr:row>
      <xdr:rowOff>170234</xdr:rowOff>
    </xdr:from>
    <xdr:ext cx="149157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FCA8E1-37E2-1813-DC9E-AE2E1FFFEC11}"/>
            </a:ext>
          </a:extLst>
        </xdr:cNvPr>
        <xdr:cNvSpPr txBox="1"/>
      </xdr:nvSpPr>
      <xdr:spPr>
        <a:xfrm>
          <a:off x="10262682" y="729574"/>
          <a:ext cx="14915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Low</a:t>
          </a:r>
          <a:r>
            <a:rPr lang="en-IN" sz="1100" baseline="0"/>
            <a:t> stock Products</a:t>
          </a:r>
          <a:endParaRPr lang="en-IN" sz="1100"/>
        </a:p>
      </xdr:txBody>
    </xdr:sp>
    <xdr:clientData/>
  </xdr:oneCellAnchor>
  <xdr:twoCellAnchor editAs="oneCell">
    <xdr:from>
      <xdr:col>3</xdr:col>
      <xdr:colOff>599872</xdr:colOff>
      <xdr:row>2</xdr:row>
      <xdr:rowOff>32425</xdr:rowOff>
    </xdr:from>
    <xdr:to>
      <xdr:col>5</xdr:col>
      <xdr:colOff>8105</xdr:colOff>
      <xdr:row>4</xdr:row>
      <xdr:rowOff>186445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E54755C-0A38-51D2-145B-4C9B64E0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2423808" y="405319"/>
          <a:ext cx="624191" cy="526913"/>
        </a:xfrm>
        <a:prstGeom prst="rect">
          <a:avLst/>
        </a:prstGeom>
      </xdr:spPr>
    </xdr:pic>
    <xdr:clientData/>
  </xdr:twoCellAnchor>
  <xdr:oneCellAnchor>
    <xdr:from>
      <xdr:col>4</xdr:col>
      <xdr:colOff>551234</xdr:colOff>
      <xdr:row>3</xdr:row>
      <xdr:rowOff>154021</xdr:rowOff>
    </xdr:from>
    <xdr:ext cx="95827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FC17EE1-2779-827B-F17C-070566E7D7E1}"/>
            </a:ext>
          </a:extLst>
        </xdr:cNvPr>
        <xdr:cNvSpPr txBox="1"/>
      </xdr:nvSpPr>
      <xdr:spPr>
        <a:xfrm>
          <a:off x="2983149" y="713361"/>
          <a:ext cx="958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Total  Product</a:t>
          </a:r>
        </a:p>
      </xdr:txBody>
    </xdr:sp>
    <xdr:clientData/>
  </xdr:oneCellAnchor>
  <xdr:twoCellAnchor editAs="oneCell">
    <xdr:from>
      <xdr:col>8</xdr:col>
      <xdr:colOff>56745</xdr:colOff>
      <xdr:row>2</xdr:row>
      <xdr:rowOff>56744</xdr:rowOff>
    </xdr:from>
    <xdr:to>
      <xdr:col>8</xdr:col>
      <xdr:colOff>567716</xdr:colOff>
      <xdr:row>4</xdr:row>
      <xdr:rowOff>146182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AE3A3E-16CB-F093-303C-1A2CD90F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920575" y="429638"/>
          <a:ext cx="510971" cy="462331"/>
        </a:xfrm>
        <a:prstGeom prst="rect">
          <a:avLst/>
        </a:prstGeom>
      </xdr:spPr>
    </xdr:pic>
    <xdr:clientData/>
  </xdr:twoCellAnchor>
  <xdr:oneCellAnchor>
    <xdr:from>
      <xdr:col>9</xdr:col>
      <xdr:colOff>356681</xdr:colOff>
      <xdr:row>3</xdr:row>
      <xdr:rowOff>162128</xdr:rowOff>
    </xdr:from>
    <xdr:ext cx="56945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58B0BF0-5F51-03A8-A882-AF4EA2C21396}"/>
            </a:ext>
          </a:extLst>
        </xdr:cNvPr>
        <xdr:cNvSpPr txBox="1"/>
      </xdr:nvSpPr>
      <xdr:spPr>
        <a:xfrm>
          <a:off x="5828490" y="721468"/>
          <a:ext cx="5694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Orders</a:t>
          </a:r>
        </a:p>
      </xdr:txBody>
    </xdr:sp>
    <xdr:clientData/>
  </xdr:oneCellAnchor>
  <xdr:twoCellAnchor editAs="oneCell">
    <xdr:from>
      <xdr:col>12</xdr:col>
      <xdr:colOff>24320</xdr:colOff>
      <xdr:row>2</xdr:row>
      <xdr:rowOff>24318</xdr:rowOff>
    </xdr:from>
    <xdr:to>
      <xdr:col>12</xdr:col>
      <xdr:colOff>567448</xdr:colOff>
      <xdr:row>4</xdr:row>
      <xdr:rowOff>121596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96961D3-575E-A98A-8A6C-9389F5BA1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7320065" y="397212"/>
          <a:ext cx="543128" cy="470171"/>
        </a:xfrm>
        <a:prstGeom prst="rect">
          <a:avLst/>
        </a:prstGeom>
      </xdr:spPr>
    </xdr:pic>
    <xdr:clientData/>
  </xdr:twoCellAnchor>
  <xdr:oneCellAnchor>
    <xdr:from>
      <xdr:col>13</xdr:col>
      <xdr:colOff>267511</xdr:colOff>
      <xdr:row>3</xdr:row>
      <xdr:rowOff>170234</xdr:rowOff>
    </xdr:from>
    <xdr:ext cx="805605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51845E9-0B7A-4EA4-8B06-F8E254121839}"/>
            </a:ext>
          </a:extLst>
        </xdr:cNvPr>
        <xdr:cNvSpPr txBox="1"/>
      </xdr:nvSpPr>
      <xdr:spPr>
        <a:xfrm>
          <a:off x="8171234" y="729574"/>
          <a:ext cx="8056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Total Stock</a:t>
          </a:r>
        </a:p>
      </xdr:txBody>
    </xdr:sp>
    <xdr:clientData/>
  </xdr:oneCellAnchor>
  <xdr:oneCellAnchor>
    <xdr:from>
      <xdr:col>3</xdr:col>
      <xdr:colOff>397214</xdr:colOff>
      <xdr:row>8</xdr:row>
      <xdr:rowOff>129703</xdr:rowOff>
    </xdr:from>
    <xdr:ext cx="1190967" cy="34285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E71CFBF-8375-58B4-281D-AE839F84234F}"/>
            </a:ext>
          </a:extLst>
        </xdr:cNvPr>
        <xdr:cNvSpPr txBox="1"/>
      </xdr:nvSpPr>
      <xdr:spPr>
        <a:xfrm>
          <a:off x="2221150" y="1621277"/>
          <a:ext cx="119096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600" b="1"/>
            <a:t>No of  Users</a:t>
          </a:r>
        </a:p>
      </xdr:txBody>
    </xdr:sp>
    <xdr:clientData/>
  </xdr:oneCellAnchor>
  <xdr:twoCellAnchor editAs="oneCell">
    <xdr:from>
      <xdr:col>3</xdr:col>
      <xdr:colOff>567446</xdr:colOff>
      <xdr:row>10</xdr:row>
      <xdr:rowOff>121596</xdr:rowOff>
    </xdr:from>
    <xdr:to>
      <xdr:col>5</xdr:col>
      <xdr:colOff>160505</xdr:colOff>
      <xdr:row>14</xdr:row>
      <xdr:rowOff>24321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0023508-D1C8-C8CF-7A81-C9592284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>
        <a:xfrm>
          <a:off x="2391382" y="1986064"/>
          <a:ext cx="809017" cy="648512"/>
        </a:xfrm>
        <a:prstGeom prst="rect">
          <a:avLst/>
        </a:prstGeom>
      </xdr:spPr>
    </xdr:pic>
    <xdr:clientData/>
  </xdr:twoCellAnchor>
  <xdr:oneCellAnchor>
    <xdr:from>
      <xdr:col>3</xdr:col>
      <xdr:colOff>453958</xdr:colOff>
      <xdr:row>16</xdr:row>
      <xdr:rowOff>72958</xdr:rowOff>
    </xdr:from>
    <xdr:ext cx="111043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6E6D5F8-B46E-7746-4780-F8618DF7CCCC}"/>
            </a:ext>
          </a:extLst>
        </xdr:cNvPr>
        <xdr:cNvSpPr txBox="1"/>
      </xdr:nvSpPr>
      <xdr:spPr>
        <a:xfrm>
          <a:off x="2277894" y="3056107"/>
          <a:ext cx="111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Total Customers</a:t>
          </a:r>
        </a:p>
      </xdr:txBody>
    </xdr:sp>
    <xdr:clientData/>
  </xdr:oneCellAnchor>
  <xdr:twoCellAnchor>
    <xdr:from>
      <xdr:col>3</xdr:col>
      <xdr:colOff>24077</xdr:colOff>
      <xdr:row>21</xdr:row>
      <xdr:rowOff>24319</xdr:rowOff>
    </xdr:from>
    <xdr:to>
      <xdr:col>14</xdr:col>
      <xdr:colOff>299936</xdr:colOff>
      <xdr:row>32</xdr:row>
      <xdr:rowOff>154022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4F74037E-EDCA-4303-B28F-9FF8C22D9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129702</xdr:colOff>
      <xdr:row>8</xdr:row>
      <xdr:rowOff>24318</xdr:rowOff>
    </xdr:from>
    <xdr:to>
      <xdr:col>14</xdr:col>
      <xdr:colOff>251297</xdr:colOff>
      <xdr:row>19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7CCBFDC-13D8-4988-9BF8-7EDB31236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6</xdr:row>
      <xdr:rowOff>156210</xdr:rowOff>
    </xdr:from>
    <xdr:to>
      <xdr:col>12</xdr:col>
      <xdr:colOff>160020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841B7-281D-3121-E697-D45CDEA18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6</xdr:row>
      <xdr:rowOff>41910</xdr:rowOff>
    </xdr:from>
    <xdr:to>
      <xdr:col>11</xdr:col>
      <xdr:colOff>205740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3EF23-D81B-9E41-086B-80B83772D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8</xdr:row>
      <xdr:rowOff>53340</xdr:rowOff>
    </xdr:from>
    <xdr:to>
      <xdr:col>9</xdr:col>
      <xdr:colOff>449580</xdr:colOff>
      <xdr:row>32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EDC36-6A28-FB3C-A918-6E36D3CAF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59.638605439817" createdVersion="8" refreshedVersion="8" minRefreshableVersion="3" recordCount="10" xr:uid="{78609481-97FD-4C28-AADF-A7E681FFEA5F}">
  <cacheSource type="worksheet">
    <worksheetSource name="Query1"/>
  </cacheSource>
  <cacheFields count="2">
    <cacheField name="ProductName" numFmtId="0">
      <sharedItems count="10">
        <s v="Saree 7"/>
        <s v="Bookshelf 6"/>
        <s v="Eggs 38"/>
        <s v="Monitor 17"/>
        <s v="Study Table 12"/>
        <s v="Jacket 43"/>
        <s v="Saree 27"/>
        <s v="Cupboard 25"/>
        <s v="Kurti 25"/>
        <s v="Headphones 46"/>
      </sharedItems>
    </cacheField>
    <cacheField name="TotalSold" numFmtId="0">
      <sharedItems containsSemiMixedTypes="0" containsString="0" containsNumber="1" containsInteger="1" minValue="628" maxValue="7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0.533094328704" createdVersion="8" refreshedVersion="8" minRefreshableVersion="3" recordCount="12" xr:uid="{5FE19834-2CE7-4D3E-A310-D4836C5C1C0D}">
  <cacheSource type="worksheet">
    <worksheetSource name="Query2"/>
  </cacheSource>
  <cacheFields count="2">
    <cacheField name="ProductName" numFmtId="0">
      <sharedItems count="12">
        <s v="Oil 27"/>
        <s v="Office Chair 11"/>
        <s v="Mouse 39"/>
        <s v="Salt 30"/>
        <s v="Mouse 29"/>
        <s v="Sugar 44"/>
        <s v="Wheat Flour 42"/>
        <s v="Salt 40"/>
        <s v="Hoodie 8"/>
        <s v="Hoodie 18"/>
        <s v="Eggs 8"/>
        <s v="Tea 35"/>
      </sharedItems>
    </cacheField>
    <cacheField name="StockQuantity" numFmtId="0">
      <sharedItems containsSemiMixedTypes="0" containsString="0" containsNumber="1" containsInteger="1" minValue="23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47"/>
  </r>
  <r>
    <x v="1"/>
    <n v="671"/>
  </r>
  <r>
    <x v="2"/>
    <n v="659"/>
  </r>
  <r>
    <x v="3"/>
    <n v="650"/>
  </r>
  <r>
    <x v="4"/>
    <n v="636"/>
  </r>
  <r>
    <x v="5"/>
    <n v="634"/>
  </r>
  <r>
    <x v="6"/>
    <n v="632"/>
  </r>
  <r>
    <x v="7"/>
    <n v="632"/>
  </r>
  <r>
    <x v="8"/>
    <n v="628"/>
  </r>
  <r>
    <x v="9"/>
    <n v="6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"/>
  </r>
  <r>
    <x v="1"/>
    <n v="26"/>
  </r>
  <r>
    <x v="2"/>
    <n v="37"/>
  </r>
  <r>
    <x v="3"/>
    <n v="48"/>
  </r>
  <r>
    <x v="4"/>
    <n v="51"/>
  </r>
  <r>
    <x v="5"/>
    <n v="53"/>
  </r>
  <r>
    <x v="6"/>
    <n v="60"/>
  </r>
  <r>
    <x v="7"/>
    <n v="61"/>
  </r>
  <r>
    <x v="8"/>
    <n v="74"/>
  </r>
  <r>
    <x v="9"/>
    <n v="74"/>
  </r>
  <r>
    <x v="10"/>
    <n v="78"/>
  </r>
  <r>
    <x v="11"/>
    <n v="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EE5E1-76FA-4F75-86F3-3F9D274CDC1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">
    <pivotField axis="axisRow" showAll="0">
      <items count="13">
        <item x="10"/>
        <item x="9"/>
        <item x="8"/>
        <item x="4"/>
        <item x="2"/>
        <item x="1"/>
        <item x="0"/>
        <item x="3"/>
        <item x="7"/>
        <item x="5"/>
        <item x="11"/>
        <item x="6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tockQuantit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05DB9-959E-4B70-9CF6-5C79197BE5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">
    <pivotField axis="axisRow" showAll="0">
      <items count="11">
        <item x="1"/>
        <item x="7"/>
        <item x="2"/>
        <item x="9"/>
        <item x="5"/>
        <item x="8"/>
        <item x="3"/>
        <item x="6"/>
        <item x="0"/>
        <item x="4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Sol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48FBA86F-7FC3-4172-9AE7-9C0F0F03A665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Sales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D4FFBDC2-A1BD-4545-98F9-30FB546400C5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sum(UnitPrice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9C70D903-8FB8-4BE6-99BB-482EF050AF77}" autoFormatId="16" applyNumberFormats="0" applyBorderFormats="0" applyFontFormats="0" applyPatternFormats="0" applyAlignmentFormats="0" applyWidthHeightFormats="0">
  <queryTableRefresh nextId="2">
    <queryTableFields count="1">
      <queryTableField id="1" name="count(customerName)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2F0B5804-1E4B-4592-9FD9-AF585732DBB1}" autoFormatId="16" applyNumberFormats="0" applyBorderFormats="0" applyFontFormats="0" applyPatternFormats="0" applyAlignmentFormats="0" applyWidthHeightFormats="0">
  <queryTableRefresh nextId="2">
    <queryTableFields count="1">
      <queryTableField id="1" name="sum(StockQuantity)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1D3F088-364F-47AE-92C2-FE453ACDF27D}" autoFormatId="16" applyNumberFormats="0" applyBorderFormats="0" applyFontFormats="0" applyPatternFormats="0" applyAlignmentFormats="0" applyWidthHeightFormats="0">
  <queryTableRefresh nextId="2">
    <queryTableFields count="1">
      <queryTableField id="1" name="sum(Quantity)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8B65197-B896-44F3-829C-7B6CB1FF1D44}" autoFormatId="16" applyNumberFormats="0" applyBorderFormats="0" applyFontFormats="0" applyPatternFormats="0" applyAlignmentFormats="0" applyWidthHeightFormats="0">
  <queryTableRefresh nextId="3">
    <queryTableFields count="2">
      <queryTableField id="1" name="ProductName" tableColumnId="1"/>
      <queryTableField id="2" name="StockQuantity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60721B-F1B0-428A-BC19-59C6FA8D9EC7}" autoFormatId="16" applyNumberFormats="0" applyBorderFormats="0" applyFontFormats="0" applyPatternFormats="0" applyAlignmentFormats="0" applyWidthHeightFormats="0">
  <queryTableRefresh nextId="2">
    <queryTableFields count="1">
      <queryTableField id="1" name="count(ProductName)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34BA11-35FF-46A9-A2D8-13B4D4EE8D92}" autoFormatId="16" applyNumberFormats="0" applyBorderFormats="0" applyFontFormats="0" applyPatternFormats="0" applyAlignmentFormats="0" applyWidthHeightFormats="0">
  <queryTableRefresh nextId="3">
    <queryTableFields count="2">
      <queryTableField id="1" name="ProductName" tableColumnId="1"/>
      <queryTableField id="2" name="TotalSol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B51491-FA56-49F7-A6C9-957FBBFDE442}" name="Query10" displayName="Query10" ref="A1:B6" tableType="queryTable" totalsRowShown="0">
  <autoFilter ref="A1:B6" xr:uid="{40B51491-FA56-49F7-A6C9-957FBBFDE442}"/>
  <tableColumns count="2">
    <tableColumn id="1" xr3:uid="{C7EDF53B-A5DB-4CFB-AAEF-9C6D6F95835F}" uniqueName="1" name="City" queryTableFieldId="1" dataDxfId="3"/>
    <tableColumn id="2" xr3:uid="{619A919B-D207-47F7-8AF6-4EF2056D4A4A}" uniqueName="2" name="TotalSales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080E06-4708-45FB-8552-44A69AE019F6}" name="Query9" displayName="Query9" ref="A1:B5" tableType="queryTable" totalsRowShown="0">
  <autoFilter ref="A1:B5" xr:uid="{3E080E06-4708-45FB-8552-44A69AE019F6}"/>
  <tableColumns count="2">
    <tableColumn id="1" xr3:uid="{FAC27B12-A438-4298-9677-1999C45A411B}" uniqueName="1" name="Category" queryTableFieldId="1" dataDxfId="2"/>
    <tableColumn id="2" xr3:uid="{4604C159-30D0-49CA-AC53-3EC15AB593C0}" uniqueName="2" name="sum(UnitPrice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C48478-9CFB-41A7-BDBD-FBBAAC1CEE34}" name="Query6" displayName="Query6" ref="A1:A2" tableType="queryTable" totalsRowShown="0">
  <autoFilter ref="A1:A2" xr:uid="{12C48478-9CFB-41A7-BDBD-FBBAAC1CEE34}"/>
  <tableColumns count="1">
    <tableColumn id="1" xr3:uid="{2F43D83E-21F9-4FC9-A9F9-43971D0D55E3}" uniqueName="1" name="count(customerName)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203B66-AE59-495E-AD3F-C4F3BA8AD694}" name="Query5" displayName="Query5" ref="A1:A2" tableType="queryTable" totalsRowShown="0">
  <autoFilter ref="A1:A2" xr:uid="{5A203B66-AE59-495E-AD3F-C4F3BA8AD694}"/>
  <tableColumns count="1">
    <tableColumn id="1" xr3:uid="{BE39AD6C-DDFE-4C09-8C69-74A5211875FE}" uniqueName="1" name="sum(StockQuantity)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7F542-E11D-4F3F-8680-70A2E4597FA2}" name="Query4" displayName="Query4" ref="A1:A2" tableType="queryTable" totalsRowShown="0">
  <autoFilter ref="A1:A2" xr:uid="{9FA7F542-E11D-4F3F-8680-70A2E4597FA2}"/>
  <tableColumns count="1">
    <tableColumn id="1" xr3:uid="{46078FB6-2FEB-4441-BB4D-D312852E0F30}" uniqueName="1" name="sum(Quantity)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524218-9D0C-4E68-AA67-791D25E9985C}" name="Query2" displayName="Query2" ref="A1:B13" tableType="queryTable" totalsRowShown="0">
  <autoFilter ref="A1:B13" xr:uid="{5E524218-9D0C-4E68-AA67-791D25E9985C}"/>
  <tableColumns count="2">
    <tableColumn id="1" xr3:uid="{234B0CCA-43E0-4E76-AFAA-607C6611BF1F}" uniqueName="1" name="ProductName" queryTableFieldId="1" dataDxfId="1"/>
    <tableColumn id="2" xr3:uid="{ABB87848-3333-422A-89FE-620709196317}" uniqueName="2" name="StockQuantity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62527-4214-4C97-97BB-EEE26B4797F9}" name="Query3" displayName="Query3" ref="A1:A2" tableType="queryTable" totalsRowShown="0">
  <autoFilter ref="A1:A2" xr:uid="{4E862527-4214-4C97-97BB-EEE26B4797F9}"/>
  <tableColumns count="1">
    <tableColumn id="1" xr3:uid="{094681EC-7552-4B9A-B540-BA0ADB5A76A1}" uniqueName="1" name="count(ProductName)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F794F-8ED7-4D19-88CC-BA8D7ABCCD5E}" name="Query1" displayName="Query1" ref="A1:B11" tableType="queryTable" totalsRowShown="0">
  <autoFilter ref="A1:B11" xr:uid="{AA5F794F-8ED7-4D19-88CC-BA8D7ABCCD5E}"/>
  <tableColumns count="2">
    <tableColumn id="1" xr3:uid="{C2ECDB94-162B-442D-84D6-05C342A7DBD1}" uniqueName="1" name="ProductName" queryTableFieldId="1" dataDxfId="0"/>
    <tableColumn id="2" xr3:uid="{BF520825-8772-449B-8433-7297B6236430}" uniqueName="2" name="TotalSol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BF1B-776D-4F3D-98EA-CADFC1ACCC67}">
  <dimension ref="A1"/>
  <sheetViews>
    <sheetView tabSelected="1" zoomScale="104" zoomScaleNormal="100" workbookViewId="0">
      <selection activeCell="X12" sqref="X12"/>
    </sheetView>
  </sheetViews>
  <sheetFormatPr defaultRowHeight="14.4" x14ac:dyDescent="0.3"/>
  <cols>
    <col min="1" max="16384" width="8.88671875" style="3"/>
  </cols>
  <sheetData>
    <row r="1" s="3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AC3A-7D86-4146-A3DD-9511AD309399}">
  <dimension ref="A1:B6"/>
  <sheetViews>
    <sheetView workbookViewId="0">
      <selection activeCell="H3" sqref="H3"/>
    </sheetView>
  </sheetViews>
  <sheetFormatPr defaultRowHeight="14.4" x14ac:dyDescent="0.3"/>
  <cols>
    <col min="1" max="1" width="9.77734375" bestFit="1" customWidth="1"/>
    <col min="2" max="2" width="16.664062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v>49231068</v>
      </c>
    </row>
    <row r="3" spans="1:2" x14ac:dyDescent="0.3">
      <c r="A3" t="s">
        <v>42</v>
      </c>
      <c r="B3">
        <v>49457467</v>
      </c>
    </row>
    <row r="4" spans="1:2" x14ac:dyDescent="0.3">
      <c r="A4" t="s">
        <v>43</v>
      </c>
      <c r="B4">
        <v>50136351</v>
      </c>
    </row>
    <row r="5" spans="1:2" x14ac:dyDescent="0.3">
      <c r="A5" t="s">
        <v>44</v>
      </c>
      <c r="B5">
        <v>52171444</v>
      </c>
    </row>
    <row r="6" spans="1:2" x14ac:dyDescent="0.3">
      <c r="A6" t="s">
        <v>45</v>
      </c>
      <c r="B6">
        <v>54595657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A4C8-04F4-4F36-95F0-0F2153FFFDD9}">
  <dimension ref="A1:B5"/>
  <sheetViews>
    <sheetView workbookViewId="0">
      <selection activeCell="C15" sqref="C15"/>
    </sheetView>
  </sheetViews>
  <sheetFormatPr defaultRowHeight="14.4" x14ac:dyDescent="0.3"/>
  <cols>
    <col min="1" max="1" width="10.5546875" bestFit="1" customWidth="1"/>
    <col min="2" max="2" width="16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>
        <v>118978</v>
      </c>
    </row>
    <row r="3" spans="1:2" x14ac:dyDescent="0.3">
      <c r="A3" t="s">
        <v>36</v>
      </c>
      <c r="B3">
        <v>125195</v>
      </c>
    </row>
    <row r="4" spans="1:2" x14ac:dyDescent="0.3">
      <c r="A4" t="s">
        <v>37</v>
      </c>
      <c r="B4">
        <v>127083</v>
      </c>
    </row>
    <row r="5" spans="1:2" x14ac:dyDescent="0.3">
      <c r="A5" t="s">
        <v>38</v>
      </c>
      <c r="B5">
        <v>139652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0E9D-984D-471E-8D88-A74812442643}">
  <dimension ref="A1:A4"/>
  <sheetViews>
    <sheetView workbookViewId="0">
      <selection activeCell="B7" sqref="B7"/>
    </sheetView>
  </sheetViews>
  <sheetFormatPr defaultRowHeight="14.4" x14ac:dyDescent="0.3"/>
  <cols>
    <col min="1" max="1" width="22.33203125" bestFit="1" customWidth="1"/>
  </cols>
  <sheetData>
    <row r="1" spans="1:1" x14ac:dyDescent="0.3">
      <c r="A1" t="s">
        <v>32</v>
      </c>
    </row>
    <row r="2" spans="1:1" x14ac:dyDescent="0.3">
      <c r="A2">
        <v>500</v>
      </c>
    </row>
    <row r="4" spans="1:1" x14ac:dyDescent="0.3">
      <c r="A4" cm="1">
        <f t="array" ref="A4">Query6[count(customerName)]</f>
        <v>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9645-DD20-483D-AD67-FDA037A10C5B}">
  <dimension ref="A1:A5"/>
  <sheetViews>
    <sheetView workbookViewId="0">
      <selection activeCell="E9" sqref="E9"/>
    </sheetView>
  </sheetViews>
  <sheetFormatPr defaultRowHeight="14.4" x14ac:dyDescent="0.3"/>
  <cols>
    <col min="1" max="1" width="20.21875" bestFit="1" customWidth="1"/>
  </cols>
  <sheetData>
    <row r="1" spans="1:1" x14ac:dyDescent="0.3">
      <c r="A1" t="s">
        <v>31</v>
      </c>
    </row>
    <row r="2" spans="1:1" x14ac:dyDescent="0.3">
      <c r="A2">
        <v>197751</v>
      </c>
    </row>
    <row r="5" spans="1:1" x14ac:dyDescent="0.3">
      <c r="A5" cm="1">
        <f t="array" ref="A5">Query5[sum(StockQuantity)]</f>
        <v>197751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C0B7-ED63-42C6-8769-A287598B39C0}">
  <dimension ref="A1:A5"/>
  <sheetViews>
    <sheetView workbookViewId="0">
      <selection activeCell="A6" sqref="A6"/>
    </sheetView>
  </sheetViews>
  <sheetFormatPr defaultRowHeight="14.4" x14ac:dyDescent="0.3"/>
  <cols>
    <col min="1" max="1" width="15.33203125" bestFit="1" customWidth="1"/>
  </cols>
  <sheetData>
    <row r="1" spans="1:1" x14ac:dyDescent="0.3">
      <c r="A1" t="s">
        <v>30</v>
      </c>
    </row>
    <row r="2" spans="1:1" x14ac:dyDescent="0.3">
      <c r="A2">
        <v>100477</v>
      </c>
    </row>
    <row r="5" spans="1:1" x14ac:dyDescent="0.3">
      <c r="A5" cm="1">
        <f t="array" ref="A5">Query4[sum(Quantity)]</f>
        <v>100477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992-6413-40B8-B0C0-AF898D1BCB17}">
  <dimension ref="A1:B13"/>
  <sheetViews>
    <sheetView workbookViewId="0">
      <selection activeCell="B8" sqref="B8"/>
    </sheetView>
  </sheetViews>
  <sheetFormatPr defaultRowHeight="14.4" x14ac:dyDescent="0.3"/>
  <cols>
    <col min="1" max="1" width="14.77734375" bestFit="1" customWidth="1"/>
    <col min="2" max="2" width="15.10937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16</v>
      </c>
      <c r="B2">
        <v>23</v>
      </c>
    </row>
    <row r="3" spans="1:2" x14ac:dyDescent="0.3">
      <c r="A3" t="s">
        <v>17</v>
      </c>
      <c r="B3">
        <v>26</v>
      </c>
    </row>
    <row r="4" spans="1:2" x14ac:dyDescent="0.3">
      <c r="A4" t="s">
        <v>18</v>
      </c>
      <c r="B4">
        <v>37</v>
      </c>
    </row>
    <row r="5" spans="1:2" x14ac:dyDescent="0.3">
      <c r="A5" t="s">
        <v>19</v>
      </c>
      <c r="B5">
        <v>48</v>
      </c>
    </row>
    <row r="6" spans="1:2" x14ac:dyDescent="0.3">
      <c r="A6" t="s">
        <v>20</v>
      </c>
      <c r="B6">
        <v>51</v>
      </c>
    </row>
    <row r="7" spans="1:2" x14ac:dyDescent="0.3">
      <c r="A7" t="s">
        <v>21</v>
      </c>
      <c r="B7">
        <v>53</v>
      </c>
    </row>
    <row r="8" spans="1:2" x14ac:dyDescent="0.3">
      <c r="A8" t="s">
        <v>22</v>
      </c>
      <c r="B8">
        <v>60</v>
      </c>
    </row>
    <row r="9" spans="1:2" x14ac:dyDescent="0.3">
      <c r="A9" t="s">
        <v>23</v>
      </c>
      <c r="B9">
        <v>61</v>
      </c>
    </row>
    <row r="10" spans="1:2" x14ac:dyDescent="0.3">
      <c r="A10" t="s">
        <v>24</v>
      </c>
      <c r="B10">
        <v>74</v>
      </c>
    </row>
    <row r="11" spans="1:2" x14ac:dyDescent="0.3">
      <c r="A11" t="s">
        <v>25</v>
      </c>
      <c r="B11">
        <v>74</v>
      </c>
    </row>
    <row r="12" spans="1:2" x14ac:dyDescent="0.3">
      <c r="A12" t="s">
        <v>26</v>
      </c>
      <c r="B12">
        <v>78</v>
      </c>
    </row>
    <row r="13" spans="1:2" x14ac:dyDescent="0.3">
      <c r="A13" t="s">
        <v>27</v>
      </c>
      <c r="B13">
        <v>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2C4F-B3A3-4D35-92FD-3228FFDC284F}">
  <dimension ref="A1:A4"/>
  <sheetViews>
    <sheetView workbookViewId="0">
      <selection activeCell="C9" sqref="C9"/>
    </sheetView>
  </sheetViews>
  <sheetFormatPr defaultRowHeight="14.4" x14ac:dyDescent="0.3"/>
  <cols>
    <col min="1" max="1" width="21" bestFit="1" customWidth="1"/>
  </cols>
  <sheetData>
    <row r="1" spans="1:1" x14ac:dyDescent="0.3">
      <c r="A1" t="s">
        <v>29</v>
      </c>
    </row>
    <row r="2" spans="1:1" x14ac:dyDescent="0.3">
      <c r="A2">
        <v>200</v>
      </c>
    </row>
    <row r="4" spans="1:1" x14ac:dyDescent="0.3">
      <c r="A4" cm="1">
        <f t="array" ref="A4">Query3[count(ProductName)]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3609-295E-4BFF-8EC9-B277B56AB8DC}">
  <dimension ref="A3:B18"/>
  <sheetViews>
    <sheetView workbookViewId="0">
      <selection activeCell="B19" sqref="B19"/>
    </sheetView>
  </sheetViews>
  <sheetFormatPr defaultRowHeight="14.4" x14ac:dyDescent="0.3"/>
  <cols>
    <col min="1" max="1" width="13.109375" bestFit="1" customWidth="1"/>
    <col min="2" max="2" width="20.21875" bestFit="1" customWidth="1"/>
  </cols>
  <sheetData>
    <row r="3" spans="1:2" x14ac:dyDescent="0.3">
      <c r="A3" s="1" t="s">
        <v>12</v>
      </c>
      <c r="B3" t="s">
        <v>28</v>
      </c>
    </row>
    <row r="4" spans="1:2" x14ac:dyDescent="0.3">
      <c r="A4" s="2" t="s">
        <v>26</v>
      </c>
      <c r="B4">
        <v>1</v>
      </c>
    </row>
    <row r="5" spans="1:2" x14ac:dyDescent="0.3">
      <c r="A5" s="2" t="s">
        <v>25</v>
      </c>
      <c r="B5">
        <v>1</v>
      </c>
    </row>
    <row r="6" spans="1:2" x14ac:dyDescent="0.3">
      <c r="A6" s="2" t="s">
        <v>24</v>
      </c>
      <c r="B6">
        <v>1</v>
      </c>
    </row>
    <row r="7" spans="1:2" x14ac:dyDescent="0.3">
      <c r="A7" s="2" t="s">
        <v>20</v>
      </c>
      <c r="B7">
        <v>1</v>
      </c>
    </row>
    <row r="8" spans="1:2" x14ac:dyDescent="0.3">
      <c r="A8" s="2" t="s">
        <v>18</v>
      </c>
      <c r="B8">
        <v>1</v>
      </c>
    </row>
    <row r="9" spans="1:2" x14ac:dyDescent="0.3">
      <c r="A9" s="2" t="s">
        <v>17</v>
      </c>
      <c r="B9">
        <v>1</v>
      </c>
    </row>
    <row r="10" spans="1:2" x14ac:dyDescent="0.3">
      <c r="A10" s="2" t="s">
        <v>16</v>
      </c>
      <c r="B10">
        <v>1</v>
      </c>
    </row>
    <row r="11" spans="1:2" x14ac:dyDescent="0.3">
      <c r="A11" s="2" t="s">
        <v>19</v>
      </c>
      <c r="B11">
        <v>1</v>
      </c>
    </row>
    <row r="12" spans="1:2" x14ac:dyDescent="0.3">
      <c r="A12" s="2" t="s">
        <v>23</v>
      </c>
      <c r="B12">
        <v>1</v>
      </c>
    </row>
    <row r="13" spans="1:2" x14ac:dyDescent="0.3">
      <c r="A13" s="2" t="s">
        <v>21</v>
      </c>
      <c r="B13">
        <v>1</v>
      </c>
    </row>
    <row r="14" spans="1:2" x14ac:dyDescent="0.3">
      <c r="A14" s="2" t="s">
        <v>27</v>
      </c>
      <c r="B14">
        <v>1</v>
      </c>
    </row>
    <row r="15" spans="1:2" x14ac:dyDescent="0.3">
      <c r="A15" s="2" t="s">
        <v>22</v>
      </c>
      <c r="B15">
        <v>1</v>
      </c>
    </row>
    <row r="16" spans="1:2" x14ac:dyDescent="0.3">
      <c r="A16" s="2" t="s">
        <v>13</v>
      </c>
      <c r="B16">
        <v>12</v>
      </c>
    </row>
    <row r="18" spans="2:2" x14ac:dyDescent="0.3">
      <c r="B18">
        <f>B16</f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32F1-3D8D-47AE-8A2F-697112062B1C}">
  <dimension ref="A3:B14"/>
  <sheetViews>
    <sheetView workbookViewId="0">
      <selection activeCell="N10" sqref="N10"/>
    </sheetView>
  </sheetViews>
  <sheetFormatPr defaultRowHeight="14.4" x14ac:dyDescent="0.3"/>
  <cols>
    <col min="1" max="1" width="13.6640625" bestFit="1" customWidth="1"/>
    <col min="2" max="2" width="15" bestFit="1" customWidth="1"/>
  </cols>
  <sheetData>
    <row r="3" spans="1:2" x14ac:dyDescent="0.3">
      <c r="A3" s="1" t="s">
        <v>12</v>
      </c>
      <c r="B3" t="s">
        <v>14</v>
      </c>
    </row>
    <row r="4" spans="1:2" x14ac:dyDescent="0.3">
      <c r="A4" s="2" t="s">
        <v>3</v>
      </c>
      <c r="B4">
        <v>671</v>
      </c>
    </row>
    <row r="5" spans="1:2" x14ac:dyDescent="0.3">
      <c r="A5" s="2" t="s">
        <v>9</v>
      </c>
      <c r="B5">
        <v>632</v>
      </c>
    </row>
    <row r="6" spans="1:2" x14ac:dyDescent="0.3">
      <c r="A6" s="2" t="s">
        <v>4</v>
      </c>
      <c r="B6">
        <v>659</v>
      </c>
    </row>
    <row r="7" spans="1:2" x14ac:dyDescent="0.3">
      <c r="A7" s="2" t="s">
        <v>11</v>
      </c>
      <c r="B7">
        <v>628</v>
      </c>
    </row>
    <row r="8" spans="1:2" x14ac:dyDescent="0.3">
      <c r="A8" s="2" t="s">
        <v>7</v>
      </c>
      <c r="B8">
        <v>634</v>
      </c>
    </row>
    <row r="9" spans="1:2" x14ac:dyDescent="0.3">
      <c r="A9" s="2" t="s">
        <v>10</v>
      </c>
      <c r="B9">
        <v>628</v>
      </c>
    </row>
    <row r="10" spans="1:2" x14ac:dyDescent="0.3">
      <c r="A10" s="2" t="s">
        <v>5</v>
      </c>
      <c r="B10">
        <v>650</v>
      </c>
    </row>
    <row r="11" spans="1:2" x14ac:dyDescent="0.3">
      <c r="A11" s="2" t="s">
        <v>8</v>
      </c>
      <c r="B11">
        <v>632</v>
      </c>
    </row>
    <row r="12" spans="1:2" x14ac:dyDescent="0.3">
      <c r="A12" s="2" t="s">
        <v>2</v>
      </c>
      <c r="B12">
        <v>747</v>
      </c>
    </row>
    <row r="13" spans="1:2" x14ac:dyDescent="0.3">
      <c r="A13" s="2" t="s">
        <v>6</v>
      </c>
      <c r="B13">
        <v>636</v>
      </c>
    </row>
    <row r="14" spans="1:2" x14ac:dyDescent="0.3">
      <c r="A14" s="2" t="s">
        <v>13</v>
      </c>
      <c r="B14">
        <v>6517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7C1A-140B-4D1A-A04B-2A638A3F8312}">
  <dimension ref="A1:B11"/>
  <sheetViews>
    <sheetView workbookViewId="0">
      <selection activeCell="B37" sqref="B37"/>
    </sheetView>
  </sheetViews>
  <sheetFormatPr defaultRowHeight="14.4" x14ac:dyDescent="0.3"/>
  <cols>
    <col min="1" max="1" width="14.77734375" bestFit="1" customWidth="1"/>
    <col min="2" max="2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747</v>
      </c>
    </row>
    <row r="3" spans="1:2" x14ac:dyDescent="0.3">
      <c r="A3" t="s">
        <v>3</v>
      </c>
      <c r="B3">
        <v>671</v>
      </c>
    </row>
    <row r="4" spans="1:2" x14ac:dyDescent="0.3">
      <c r="A4" t="s">
        <v>4</v>
      </c>
      <c r="B4">
        <v>659</v>
      </c>
    </row>
    <row r="5" spans="1:2" x14ac:dyDescent="0.3">
      <c r="A5" t="s">
        <v>5</v>
      </c>
      <c r="B5">
        <v>650</v>
      </c>
    </row>
    <row r="6" spans="1:2" x14ac:dyDescent="0.3">
      <c r="A6" t="s">
        <v>6</v>
      </c>
      <c r="B6">
        <v>636</v>
      </c>
    </row>
    <row r="7" spans="1:2" x14ac:dyDescent="0.3">
      <c r="A7" t="s">
        <v>7</v>
      </c>
      <c r="B7">
        <v>634</v>
      </c>
    </row>
    <row r="8" spans="1:2" x14ac:dyDescent="0.3">
      <c r="A8" t="s">
        <v>8</v>
      </c>
      <c r="B8">
        <v>632</v>
      </c>
    </row>
    <row r="9" spans="1:2" x14ac:dyDescent="0.3">
      <c r="A9" t="s">
        <v>9</v>
      </c>
      <c r="B9">
        <v>632</v>
      </c>
    </row>
    <row r="10" spans="1:2" x14ac:dyDescent="0.3">
      <c r="A10" t="s">
        <v>10</v>
      </c>
      <c r="B10">
        <v>628</v>
      </c>
    </row>
    <row r="11" spans="1:2" x14ac:dyDescent="0.3">
      <c r="A11" t="s">
        <v>11</v>
      </c>
      <c r="B11">
        <v>628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E9903-FF21-436F-8909-A3FCD531A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City wise Sales value</vt:lpstr>
      <vt:lpstr>category_wise_revenue</vt:lpstr>
      <vt:lpstr>No_of_Customers</vt:lpstr>
      <vt:lpstr>Total_stock</vt:lpstr>
      <vt:lpstr>orders</vt:lpstr>
      <vt:lpstr>low_stock_data</vt:lpstr>
      <vt:lpstr>count_product</vt:lpstr>
      <vt:lpstr>count_stock_Quantity</vt:lpstr>
      <vt:lpstr>Top selling_product</vt:lpstr>
      <vt:lpstr>Top_10_product_by 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prajaktay525@gmail.com</dc:creator>
  <cp:lastModifiedBy>prajaktay525@gmail.com</cp:lastModifiedBy>
  <dcterms:created xsi:type="dcterms:W3CDTF">2025-10-29T09:46:11Z</dcterms:created>
  <dcterms:modified xsi:type="dcterms:W3CDTF">2025-11-17T09:50:43Z</dcterms:modified>
</cp:coreProperties>
</file>